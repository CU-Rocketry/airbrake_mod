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airbrake_mod\pcb\"/>
    </mc:Choice>
  </mc:AlternateContent>
  <xr:revisionPtr revIDLastSave="0" documentId="8_{9D42B06D-BBE5-4246-B3CC-4E653E13EAFA}" xr6:coauthVersionLast="47" xr6:coauthVersionMax="47" xr10:uidLastSave="{00000000-0000-0000-0000-000000000000}"/>
  <bookViews>
    <workbookView xWindow="-110" yWindow="-110" windowWidth="24220" windowHeight="15500" xr2:uid="{10E0B41C-A9A6-4EF7-A243-A3E07B904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13" i="1" s="1"/>
  <c r="D13" i="1" s="1"/>
  <c r="B12" i="1"/>
  <c r="C12" i="1" s="1"/>
  <c r="D12" i="1" s="1"/>
  <c r="E6" i="1"/>
  <c r="E7" i="1"/>
  <c r="E8" i="1"/>
  <c r="E9" i="1"/>
  <c r="E10" i="1"/>
  <c r="E11" i="1"/>
  <c r="E5" i="1"/>
  <c r="B11" i="1"/>
  <c r="C11" i="1"/>
  <c r="D11" i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5" i="1"/>
  <c r="C5" i="1" s="1"/>
  <c r="D5" i="1" s="1"/>
  <c r="E13" i="1" l="1"/>
  <c r="E12" i="1"/>
</calcChain>
</file>

<file path=xl/sharedStrings.xml><?xml version="1.0" encoding="utf-8"?>
<sst xmlns="http://schemas.openxmlformats.org/spreadsheetml/2006/main" count="12" uniqueCount="12">
  <si>
    <t>Gain</t>
  </si>
  <si>
    <t>Rshunt</t>
  </si>
  <si>
    <t>V/V</t>
  </si>
  <si>
    <t>Ohm</t>
  </si>
  <si>
    <t>Pdiss [W]</t>
  </si>
  <si>
    <t>ADC [Counts]</t>
  </si>
  <si>
    <t>Vout [V]</t>
  </si>
  <si>
    <t>Vshunt [V]</t>
  </si>
  <si>
    <t>Iload [A]</t>
  </si>
  <si>
    <t>greater than 1/8W</t>
  </si>
  <si>
    <t>max current sense</t>
  </si>
  <si>
    <t>max current less than 1/4W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</si>
</sst>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D954-49DF-40FF-BDC7-A2C6E706EB0C}">
  <dimension ref="A1:F14"/>
  <sheetViews>
    <sheetView tabSelected="1" workbookViewId="0">
      <selection activeCell="K20" sqref="K20"/>
    </sheetView>
  </sheetViews>
  <sheetFormatPr defaultRowHeight="14.5" x14ac:dyDescent="0.35"/>
  <cols>
    <col min="2" max="2" width="10.81640625" customWidth="1"/>
    <col min="4" max="4" width="13.36328125" customWidth="1"/>
    <col min="5" max="5" width="11.81640625" bestFit="1" customWidth="1"/>
  </cols>
  <sheetData>
    <row r="1" spans="1:6" x14ac:dyDescent="0.35">
      <c r="A1" t="s">
        <v>0</v>
      </c>
      <c r="B1">
        <v>200</v>
      </c>
      <c r="C1" t="s">
        <v>2</v>
      </c>
    </row>
    <row r="2" spans="1:6" x14ac:dyDescent="0.35">
      <c r="A2" t="s">
        <v>1</v>
      </c>
      <c r="B2">
        <v>2E-3</v>
      </c>
      <c r="C2" t="s">
        <v>3</v>
      </c>
    </row>
    <row r="4" spans="1:6" x14ac:dyDescent="0.3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6" x14ac:dyDescent="0.35">
      <c r="A5">
        <v>1E-3</v>
      </c>
      <c r="B5">
        <f>A5*$B$2</f>
        <v>1.9999999999999999E-6</v>
      </c>
      <c r="C5">
        <f>B5*$B$1</f>
        <v>3.9999999999999996E-4</v>
      </c>
      <c r="D5" s="1">
        <f>(C5/3.3)*4095</f>
        <v>0.49636363636363634</v>
      </c>
      <c r="E5">
        <f>A5*B5</f>
        <v>2.0000000000000001E-9</v>
      </c>
    </row>
    <row r="6" spans="1:6" x14ac:dyDescent="0.35">
      <c r="A6">
        <v>0.01</v>
      </c>
      <c r="B6">
        <f t="shared" ref="B6:B14" si="0">A6*$B$2</f>
        <v>2.0000000000000002E-5</v>
      </c>
      <c r="C6">
        <f t="shared" ref="C6:C14" si="1">B6*$B$1</f>
        <v>4.0000000000000001E-3</v>
      </c>
      <c r="D6" s="1">
        <f>(C6/3.3)*4095</f>
        <v>4.9636363636363638</v>
      </c>
      <c r="E6">
        <f t="shared" ref="E6:E14" si="2">A6*B6</f>
        <v>2.0000000000000002E-7</v>
      </c>
    </row>
    <row r="7" spans="1:6" x14ac:dyDescent="0.35">
      <c r="A7">
        <v>0.1</v>
      </c>
      <c r="B7">
        <f t="shared" si="0"/>
        <v>2.0000000000000001E-4</v>
      </c>
      <c r="C7">
        <f t="shared" si="1"/>
        <v>0.04</v>
      </c>
      <c r="D7" s="1">
        <f>(C7/3.3)*4095</f>
        <v>49.63636363636364</v>
      </c>
      <c r="E7">
        <f t="shared" si="2"/>
        <v>2.0000000000000002E-5</v>
      </c>
    </row>
    <row r="8" spans="1:6" x14ac:dyDescent="0.35">
      <c r="A8">
        <v>1</v>
      </c>
      <c r="B8">
        <f t="shared" si="0"/>
        <v>2E-3</v>
      </c>
      <c r="C8">
        <f t="shared" si="1"/>
        <v>0.4</v>
      </c>
      <c r="D8" s="1">
        <f>(C8/3.3)*4095</f>
        <v>496.36363636363643</v>
      </c>
      <c r="E8">
        <f t="shared" si="2"/>
        <v>2E-3</v>
      </c>
    </row>
    <row r="9" spans="1:6" x14ac:dyDescent="0.35">
      <c r="A9">
        <v>2</v>
      </c>
      <c r="B9">
        <f t="shared" si="0"/>
        <v>4.0000000000000001E-3</v>
      </c>
      <c r="C9">
        <f t="shared" si="1"/>
        <v>0.8</v>
      </c>
      <c r="D9" s="1">
        <f>(C9/3.3)*4095</f>
        <v>992.72727272727286</v>
      </c>
      <c r="E9">
        <f t="shared" si="2"/>
        <v>8.0000000000000002E-3</v>
      </c>
    </row>
    <row r="10" spans="1:6" x14ac:dyDescent="0.35">
      <c r="A10">
        <v>5</v>
      </c>
      <c r="B10">
        <f t="shared" si="0"/>
        <v>0.01</v>
      </c>
      <c r="C10">
        <f t="shared" si="1"/>
        <v>2</v>
      </c>
      <c r="D10" s="1">
        <f>(C10/3.3)*4095</f>
        <v>2481.818181818182</v>
      </c>
      <c r="E10">
        <f t="shared" si="2"/>
        <v>0.05</v>
      </c>
    </row>
    <row r="11" spans="1:6" x14ac:dyDescent="0.35">
      <c r="A11">
        <v>8</v>
      </c>
      <c r="B11">
        <f t="shared" si="0"/>
        <v>1.6E-2</v>
      </c>
      <c r="C11">
        <f t="shared" si="1"/>
        <v>3.2</v>
      </c>
      <c r="D11" s="1">
        <f>(C11/3.3)*4095</f>
        <v>3970.9090909090914</v>
      </c>
      <c r="E11" s="2">
        <f t="shared" si="2"/>
        <v>0.128</v>
      </c>
      <c r="F11" t="s">
        <v>9</v>
      </c>
    </row>
    <row r="12" spans="1:6" x14ac:dyDescent="0.35">
      <c r="A12" s="2">
        <v>8.25</v>
      </c>
      <c r="B12" s="2">
        <f t="shared" si="0"/>
        <v>1.6500000000000001E-2</v>
      </c>
      <c r="C12" s="2">
        <f t="shared" si="1"/>
        <v>3.3000000000000003</v>
      </c>
      <c r="D12" s="3">
        <f>(C12/3.3)*4095</f>
        <v>4095.0000000000009</v>
      </c>
      <c r="E12" s="2">
        <f t="shared" si="2"/>
        <v>0.136125</v>
      </c>
      <c r="F12" t="s">
        <v>10</v>
      </c>
    </row>
    <row r="13" spans="1:6" x14ac:dyDescent="0.35">
      <c r="A13">
        <v>11</v>
      </c>
      <c r="B13">
        <f t="shared" si="0"/>
        <v>2.1999999999999999E-2</v>
      </c>
      <c r="C13" s="1">
        <f t="shared" si="1"/>
        <v>4.3999999999999995</v>
      </c>
      <c r="D13" s="1">
        <f>(C13/3.3)*4095</f>
        <v>5460</v>
      </c>
      <c r="E13" s="2">
        <f t="shared" si="2"/>
        <v>0.24199999999999999</v>
      </c>
      <c r="F13" t="s">
        <v>11</v>
      </c>
    </row>
    <row r="14" spans="1:6" x14ac:dyDescent="0.35"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Sigmond J. Kukla - kuklasj</dc:creator>
  <cp:lastModifiedBy>Sigmond J. Kukla - kuklasj</cp:lastModifiedBy>
  <dcterms:created xsi:type="dcterms:W3CDTF">2025-11-19T15:14:36Z</dcterms:created>
  <dcterms:modified xsi:type="dcterms:W3CDTF">2025-11-19T15:35:31Z</dcterms:modified>
</cp:coreProperties>
</file>